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c6fc9149260a082/Documents/Keyera/"/>
    </mc:Choice>
  </mc:AlternateContent>
  <xr:revisionPtr revIDLastSave="1" documentId="8_{D3EFDA34-C8E2-4207-9E36-C5428D86E428}" xr6:coauthVersionLast="47" xr6:coauthVersionMax="47" xr10:uidLastSave="{0478FFB7-05FA-4EDD-A96D-8296D77CD21C}"/>
  <bookViews>
    <workbookView xWindow="-103" yWindow="-103" windowWidth="23657" windowHeight="15120" activeTab="1" xr2:uid="{4736BF46-B2D9-4E61-A133-B284D54155D1}"/>
  </bookViews>
  <sheets>
    <sheet name="Test Model" sheetId="3" r:id="rId1"/>
    <sheet name="README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3" l="1"/>
  <c r="K3" i="3"/>
  <c r="J3" i="3"/>
  <c r="I3" i="3"/>
  <c r="H3" i="3"/>
  <c r="G3" i="3"/>
  <c r="F3" i="3"/>
  <c r="M3" i="3" s="1"/>
  <c r="C2" i="3"/>
  <c r="D2" i="3" s="1"/>
  <c r="E2" i="3" s="1"/>
  <c r="F2" i="3" s="1"/>
  <c r="G2" i="3" s="1"/>
  <c r="H2" i="3" s="1"/>
  <c r="I2" i="3" s="1"/>
  <c r="J2" i="3" s="1"/>
  <c r="K2" i="3" s="1"/>
  <c r="L2" i="3" s="1"/>
  <c r="N3" i="3" l="1"/>
</calcChain>
</file>

<file path=xl/sharedStrings.xml><?xml version="1.0" encoding="utf-8"?>
<sst xmlns="http://schemas.openxmlformats.org/spreadsheetml/2006/main" count="58" uniqueCount="53">
  <si>
    <t>Instructions</t>
  </si>
  <si>
    <t>Leave this workbook open</t>
  </si>
  <si>
    <t>Open the target workbook (i.e., the one you are running simulations for) and keep it as the active workbook</t>
  </si>
  <si>
    <t>Press Alt-F8 to open the macros dialog box</t>
  </si>
  <si>
    <t>To generate randomized / simulated inputs, select "randomize_inputs" and click "Run"</t>
  </si>
  <si>
    <t>Enter your parameters into the dialog box</t>
  </si>
  <si>
    <t>- "Input Name" should be a string of text</t>
  </si>
  <si>
    <t>- "Standard Deviation" must be a positive numerical value</t>
  </si>
  <si>
    <t>** mouse over each input box to view further instructions</t>
  </si>
  <si>
    <t>- "Iterations" must be a positive integer and is the number of simulations you wish to run. For statistical purposes should be &gt; 30</t>
  </si>
  <si>
    <t>Press "Enter Another" to create another set of randomized inputs or "OK" if done</t>
  </si>
  <si>
    <t>- A new worksheet called "sims" will be created - do not make any changes to this worksheet</t>
  </si>
  <si>
    <t>To run simulations based on the randomized values, open the macros dialog and select "run_simulations"</t>
  </si>
  <si>
    <t>- "First row of input range" should be an array of the values in row 2 of the "sims" sheet (i.e., if you only have one input this range will be a single cell reference to sims!A2, if you have two inputs it will be sims!A2:B2)</t>
  </si>
  <si>
    <t>- "Reference Cell" must be a single cell reference to the hardcoded input you are looking to randomize</t>
  </si>
  <si>
    <t>- "Output Cell" must be a single cell reference to the output value you are looking to calculate for each simulation (cell must contain a formula)</t>
  </si>
  <si>
    <t>Output results will be available in the next empty column of the "sims" sheet</t>
  </si>
  <si>
    <t>- The new worksheet will include the randomized inputs</t>
  </si>
  <si>
    <t>- Add a title to this column in row 2 if desired</t>
  </si>
  <si>
    <t>NPV</t>
  </si>
  <si>
    <t>IRR</t>
  </si>
  <si>
    <t>default</t>
  </si>
  <si>
    <t/>
  </si>
  <si>
    <t>Notes</t>
  </si>
  <si>
    <t>Choose applicable probability distribution for input</t>
  </si>
  <si>
    <t>- Lognormal and PERT distributions will have significantly longer runtimes when running randomize_inputs</t>
  </si>
  <si>
    <t>- More variables = longer runtime for run_simulations</t>
  </si>
  <si>
    <t>Distributions</t>
  </si>
  <si>
    <t>- Normal - Classic bell curve distribution</t>
  </si>
  <si>
    <t>- Symmetric with equal weight in both tails (no skew)</t>
  </si>
  <si>
    <t>- Lognormal - Similar to normal with a slight positive skew</t>
  </si>
  <si>
    <t>- Fatter right tail - greater probability to the upside</t>
  </si>
  <si>
    <t>- Uniform - Flat distribution</t>
  </si>
  <si>
    <t>- Implies all outcomes have equal probability</t>
  </si>
  <si>
    <t>- PERT - Distribution with specified maximum, minimum, and mode</t>
  </si>
  <si>
    <t>- Results will be distributed around the most common value</t>
  </si>
  <si>
    <t>- Best for: project timing, capital spend / costs</t>
  </si>
  <si>
    <t>- Binomial - Distribution of success vs. failure for binomial (1 or 0) events</t>
  </si>
  <si>
    <t>- Best for: inputs where result is 1 or 0 (e.g., default / bankruptcy events)</t>
  </si>
  <si>
    <t>- Number of iterations should be the same for all inputs</t>
  </si>
  <si>
    <t>- If Excel appears frozen after running either macro (even if not responding), do not force close Excel. The macro is working and will close when completed.</t>
  </si>
  <si>
    <t>- Because the simulation process is taxing on computer resources, closing other open programs may cut down on runtimes</t>
  </si>
  <si>
    <t>- "Minimum" must be a numerical value</t>
  </si>
  <si>
    <t>- "Maximum" must be a numerical value</t>
  </si>
  <si>
    <t>if applicable</t>
  </si>
  <si>
    <t>- "Probability of Success" must be a numerical value between 0 and 1 and represents the probability of a result of 1</t>
  </si>
  <si>
    <t>- Best for: variables with even upside and downside deviation</t>
  </si>
  <si>
    <t>- This is the default distribution; use this distribution when there is not enough evidence to assume a different distribution</t>
  </si>
  <si>
    <t>- Best for: stock prices, reserve values; variables with more upside than downside deviation, variables that cannot go below zero</t>
  </si>
  <si>
    <t>- Best for: variables with a range of outcomes but no definite expected value</t>
  </si>
  <si>
    <t>- Inverse Lognormal - Inverse of the lognormal distribution, has a negative skew</t>
  </si>
  <si>
    <t>- Fatter left tail - greater probability to the downside</t>
  </si>
  <si>
    <t>- Best for: variables with more downside than upside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</si>
</sst>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;[Red]\-&quot;$&quot;#,##0.00"/>
  </numFmts>
  <fonts count="5" x14ac:knownFonts="1">
    <font>
      <sz val="10"/>
      <color theme="1"/>
      <name val="Arial"/>
      <family val="2"/>
    </font>
    <font>
      <sz val="8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0000FF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8" fontId="0" fillId="0" borderId="0" xfId="0" applyNumberFormat="1"/>
    <xf numFmtId="9" fontId="0" fillId="0" borderId="0" xfId="0" applyNumberFormat="1"/>
    <xf numFmtId="0" fontId="2" fillId="0" borderId="0" xfId="0" applyFont="1"/>
    <xf numFmtId="0" fontId="3" fillId="0" borderId="0" xfId="0" quotePrefix="1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D334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500B-3675-48A9-A2EC-E9F4E1AF7B07}">
  <sheetPr codeName="Sheet2"/>
  <dimension ref="B2:N6"/>
  <sheetViews>
    <sheetView showGridLines="0" zoomScale="85" zoomScaleNormal="85" workbookViewId="0"/>
  </sheetViews>
  <sheetFormatPr defaultRowHeight="12.45" x14ac:dyDescent="0.3"/>
  <cols>
    <col min="7" max="7" width="12.23046875" bestFit="1" customWidth="1"/>
  </cols>
  <sheetData>
    <row r="2" spans="2:14" x14ac:dyDescent="0.3">
      <c r="B2">
        <v>0</v>
      </c>
      <c r="C2">
        <f>+B2+1</f>
        <v>1</v>
      </c>
      <c r="D2">
        <f t="shared" ref="D2:L2" si="0">+C2+1</f>
        <v>2</v>
      </c>
      <c r="E2">
        <f t="shared" si="0"/>
        <v>3</v>
      </c>
      <c r="F2">
        <f t="shared" si="0"/>
        <v>4</v>
      </c>
      <c r="G2">
        <f t="shared" si="0"/>
        <v>5</v>
      </c>
      <c r="H2">
        <f t="shared" si="0"/>
        <v>6</v>
      </c>
      <c r="I2">
        <f t="shared" si="0"/>
        <v>7</v>
      </c>
      <c r="J2">
        <f t="shared" si="0"/>
        <v>8</v>
      </c>
      <c r="K2">
        <f t="shared" si="0"/>
        <v>9</v>
      </c>
      <c r="L2">
        <f t="shared" si="0"/>
        <v>10</v>
      </c>
      <c r="M2" t="s">
        <v>19</v>
      </c>
      <c r="N2" t="s">
        <v>20</v>
      </c>
    </row>
    <row r="3" spans="2:14" x14ac:dyDescent="0.3">
      <c r="B3" s="6">
        <v>-200</v>
      </c>
      <c r="C3" s="6">
        <v>10</v>
      </c>
      <c r="D3" s="6">
        <v>40</v>
      </c>
      <c r="E3" s="6">
        <v>50</v>
      </c>
      <c r="F3">
        <f t="shared" ref="F3:L3" si="1">+IF($C$6=1,0,$E$3)</f>
        <v>50</v>
      </c>
      <c r="G3">
        <f t="shared" si="1"/>
        <v>50</v>
      </c>
      <c r="H3">
        <f t="shared" si="1"/>
        <v>50</v>
      </c>
      <c r="I3">
        <f t="shared" si="1"/>
        <v>50</v>
      </c>
      <c r="J3">
        <f t="shared" si="1"/>
        <v>50</v>
      </c>
      <c r="K3">
        <f t="shared" si="1"/>
        <v>50</v>
      </c>
      <c r="L3">
        <f t="shared" si="1"/>
        <v>50</v>
      </c>
      <c r="M3" s="2">
        <f>+NPV(0.1,B3:L3)</f>
        <v>56.909323737891157</v>
      </c>
      <c r="N3" s="3">
        <f>+IRR(B3:L3)</f>
        <v>0.15970509802014576</v>
      </c>
    </row>
    <row r="4" spans="2:14" x14ac:dyDescent="0.3">
      <c r="F4" s="1" t="s">
        <v>22</v>
      </c>
    </row>
    <row r="6" spans="2:14" x14ac:dyDescent="0.3">
      <c r="B6" t="s">
        <v>21</v>
      </c>
      <c r="C6" s="6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FE458-F81A-41B8-9C69-F6C46C25C0EA}">
  <sheetPr codeName="Sheet1"/>
  <dimension ref="B2:C57"/>
  <sheetViews>
    <sheetView showGridLines="0" tabSelected="1" zoomScale="85" zoomScaleNormal="85" workbookViewId="0"/>
  </sheetViews>
  <sheetFormatPr defaultColWidth="10.61328125" defaultRowHeight="12.75" customHeight="1" x14ac:dyDescent="0.3"/>
  <cols>
    <col min="1" max="1" width="2.61328125" customWidth="1"/>
  </cols>
  <sheetData>
    <row r="2" spans="2:3" ht="12.75" customHeight="1" x14ac:dyDescent="0.3">
      <c r="B2" s="4" t="s">
        <v>0</v>
      </c>
    </row>
    <row r="3" spans="2:3" ht="12.75" customHeight="1" x14ac:dyDescent="0.3">
      <c r="B3">
        <v>1</v>
      </c>
      <c r="C3" t="s">
        <v>1</v>
      </c>
    </row>
    <row r="4" spans="2:3" ht="12.75" customHeight="1" x14ac:dyDescent="0.3">
      <c r="B4">
        <v>2</v>
      </c>
      <c r="C4" t="s">
        <v>2</v>
      </c>
    </row>
    <row r="5" spans="2:3" ht="12.75" customHeight="1" x14ac:dyDescent="0.3">
      <c r="B5">
        <v>3</v>
      </c>
      <c r="C5" t="s">
        <v>3</v>
      </c>
    </row>
    <row r="7" spans="2:3" ht="12.75" customHeight="1" x14ac:dyDescent="0.3">
      <c r="B7">
        <v>4</v>
      </c>
      <c r="C7" t="s">
        <v>4</v>
      </c>
    </row>
    <row r="8" spans="2:3" ht="12.75" customHeight="1" x14ac:dyDescent="0.3">
      <c r="B8">
        <v>5</v>
      </c>
      <c r="C8" t="s">
        <v>24</v>
      </c>
    </row>
    <row r="9" spans="2:3" ht="12.75" customHeight="1" x14ac:dyDescent="0.3">
      <c r="B9">
        <v>6</v>
      </c>
      <c r="C9" t="s">
        <v>5</v>
      </c>
    </row>
    <row r="10" spans="2:3" ht="12.75" customHeight="1" x14ac:dyDescent="0.3">
      <c r="C10" s="1" t="s">
        <v>6</v>
      </c>
    </row>
    <row r="11" spans="2:3" ht="12.75" customHeight="1" x14ac:dyDescent="0.3">
      <c r="C11" s="1" t="s">
        <v>14</v>
      </c>
    </row>
    <row r="12" spans="2:3" ht="12.75" customHeight="1" x14ac:dyDescent="0.3">
      <c r="B12" t="s">
        <v>44</v>
      </c>
      <c r="C12" s="1" t="s">
        <v>7</v>
      </c>
    </row>
    <row r="13" spans="2:3" ht="12.75" customHeight="1" x14ac:dyDescent="0.3">
      <c r="B13" t="s">
        <v>44</v>
      </c>
      <c r="C13" s="1" t="s">
        <v>42</v>
      </c>
    </row>
    <row r="14" spans="2:3" ht="12.75" customHeight="1" x14ac:dyDescent="0.3">
      <c r="B14" t="s">
        <v>44</v>
      </c>
      <c r="C14" s="1" t="s">
        <v>43</v>
      </c>
    </row>
    <row r="15" spans="2:3" ht="12.75" customHeight="1" x14ac:dyDescent="0.3">
      <c r="B15" t="s">
        <v>44</v>
      </c>
      <c r="C15" s="1" t="s">
        <v>45</v>
      </c>
    </row>
    <row r="16" spans="2:3" ht="12.75" customHeight="1" x14ac:dyDescent="0.3">
      <c r="C16" s="1" t="s">
        <v>9</v>
      </c>
    </row>
    <row r="17" spans="2:3" ht="12.75" customHeight="1" x14ac:dyDescent="0.3">
      <c r="C17" s="1" t="s">
        <v>8</v>
      </c>
    </row>
    <row r="18" spans="2:3" ht="12.75" customHeight="1" x14ac:dyDescent="0.3">
      <c r="B18">
        <v>7</v>
      </c>
      <c r="C18" t="s">
        <v>10</v>
      </c>
    </row>
    <row r="19" spans="2:3" ht="12.75" customHeight="1" x14ac:dyDescent="0.3">
      <c r="C19" s="1" t="s">
        <v>11</v>
      </c>
    </row>
    <row r="20" spans="2:3" ht="12.75" customHeight="1" x14ac:dyDescent="0.3">
      <c r="C20" s="1" t="s">
        <v>17</v>
      </c>
    </row>
    <row r="22" spans="2:3" ht="12.75" customHeight="1" x14ac:dyDescent="0.3">
      <c r="B22">
        <v>8</v>
      </c>
      <c r="C22" t="s">
        <v>12</v>
      </c>
    </row>
    <row r="23" spans="2:3" ht="12.75" customHeight="1" x14ac:dyDescent="0.3">
      <c r="B23">
        <v>9</v>
      </c>
      <c r="C23" t="s">
        <v>5</v>
      </c>
    </row>
    <row r="24" spans="2:3" ht="12.75" customHeight="1" x14ac:dyDescent="0.3">
      <c r="C24" s="1" t="s">
        <v>13</v>
      </c>
    </row>
    <row r="25" spans="2:3" ht="12.75" customHeight="1" x14ac:dyDescent="0.3">
      <c r="C25" s="1" t="s">
        <v>15</v>
      </c>
    </row>
    <row r="26" spans="2:3" ht="12.75" customHeight="1" x14ac:dyDescent="0.3">
      <c r="C26" s="1" t="s">
        <v>8</v>
      </c>
    </row>
    <row r="27" spans="2:3" ht="12.75" customHeight="1" x14ac:dyDescent="0.3">
      <c r="B27">
        <v>10</v>
      </c>
      <c r="C27" t="s">
        <v>16</v>
      </c>
    </row>
    <row r="28" spans="2:3" ht="12.75" customHeight="1" x14ac:dyDescent="0.3">
      <c r="C28" s="1" t="s">
        <v>18</v>
      </c>
    </row>
    <row r="31" spans="2:3" ht="12.75" customHeight="1" x14ac:dyDescent="0.3">
      <c r="B31" s="4" t="s">
        <v>23</v>
      </c>
    </row>
    <row r="32" spans="2:3" ht="12.75" customHeight="1" x14ac:dyDescent="0.3">
      <c r="B32" s="1" t="s">
        <v>39</v>
      </c>
    </row>
    <row r="33" spans="2:3" ht="12.75" customHeight="1" x14ac:dyDescent="0.3">
      <c r="B33" s="1" t="s">
        <v>25</v>
      </c>
    </row>
    <row r="34" spans="2:3" ht="12.75" customHeight="1" x14ac:dyDescent="0.3">
      <c r="B34" s="1" t="s">
        <v>26</v>
      </c>
    </row>
    <row r="35" spans="2:3" ht="12.75" customHeight="1" x14ac:dyDescent="0.3">
      <c r="B35" s="1" t="s">
        <v>40</v>
      </c>
    </row>
    <row r="36" spans="2:3" ht="12.75" customHeight="1" x14ac:dyDescent="0.3">
      <c r="C36" s="1" t="s">
        <v>41</v>
      </c>
    </row>
    <row r="37" spans="2:3" ht="12.75" customHeight="1" x14ac:dyDescent="0.3">
      <c r="C37" s="1"/>
    </row>
    <row r="39" spans="2:3" ht="12.75" customHeight="1" x14ac:dyDescent="0.3">
      <c r="B39" s="4" t="s">
        <v>27</v>
      </c>
    </row>
    <row r="40" spans="2:3" ht="12.75" customHeight="1" x14ac:dyDescent="0.3">
      <c r="B40" s="1" t="s">
        <v>28</v>
      </c>
    </row>
    <row r="41" spans="2:3" ht="12.75" customHeight="1" x14ac:dyDescent="0.3">
      <c r="B41" s="1"/>
      <c r="C41" s="5" t="s">
        <v>47</v>
      </c>
    </row>
    <row r="42" spans="2:3" ht="12.75" customHeight="1" x14ac:dyDescent="0.3">
      <c r="C42" s="1" t="s">
        <v>29</v>
      </c>
    </row>
    <row r="43" spans="2:3" ht="12.75" customHeight="1" x14ac:dyDescent="0.3">
      <c r="C43" s="1" t="s">
        <v>46</v>
      </c>
    </row>
    <row r="44" spans="2:3" ht="12.75" customHeight="1" x14ac:dyDescent="0.3">
      <c r="B44" s="1" t="s">
        <v>30</v>
      </c>
    </row>
    <row r="45" spans="2:3" ht="12.75" customHeight="1" x14ac:dyDescent="0.3">
      <c r="C45" s="1" t="s">
        <v>31</v>
      </c>
    </row>
    <row r="46" spans="2:3" ht="12.75" customHeight="1" x14ac:dyDescent="0.3">
      <c r="C46" s="1" t="s">
        <v>48</v>
      </c>
    </row>
    <row r="47" spans="2:3" ht="12.75" customHeight="1" x14ac:dyDescent="0.3">
      <c r="B47" s="1" t="s">
        <v>50</v>
      </c>
    </row>
    <row r="48" spans="2:3" ht="12.75" customHeight="1" x14ac:dyDescent="0.3">
      <c r="C48" s="1" t="s">
        <v>51</v>
      </c>
    </row>
    <row r="49" spans="2:3" ht="12.75" customHeight="1" x14ac:dyDescent="0.3">
      <c r="C49" s="1" t="s">
        <v>52</v>
      </c>
    </row>
    <row r="50" spans="2:3" ht="12.75" customHeight="1" x14ac:dyDescent="0.3">
      <c r="B50" s="1" t="s">
        <v>32</v>
      </c>
    </row>
    <row r="51" spans="2:3" ht="12.75" customHeight="1" x14ac:dyDescent="0.3">
      <c r="C51" s="1" t="s">
        <v>33</v>
      </c>
    </row>
    <row r="52" spans="2:3" ht="12.75" customHeight="1" x14ac:dyDescent="0.3">
      <c r="C52" s="1" t="s">
        <v>49</v>
      </c>
    </row>
    <row r="53" spans="2:3" ht="12.75" customHeight="1" x14ac:dyDescent="0.3">
      <c r="B53" s="1" t="s">
        <v>34</v>
      </c>
    </row>
    <row r="54" spans="2:3" ht="12.75" customHeight="1" x14ac:dyDescent="0.3">
      <c r="C54" s="1" t="s">
        <v>35</v>
      </c>
    </row>
    <row r="55" spans="2:3" ht="12.75" customHeight="1" x14ac:dyDescent="0.3">
      <c r="C55" s="1" t="s">
        <v>36</v>
      </c>
    </row>
    <row r="56" spans="2:3" ht="12.75" customHeight="1" x14ac:dyDescent="0.3">
      <c r="B56" s="1" t="s">
        <v>37</v>
      </c>
    </row>
    <row r="57" spans="2:3" ht="12.75" customHeight="1" x14ac:dyDescent="0.3">
      <c r="C57" s="1" t="s">
        <v>38</v>
      </c>
    </row>
  </sheetData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 Model</vt:lpstr>
      <vt:lpstr>README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Spencer Ellis</dc:creator>
  <cp:lastModifiedBy>Spencer Ellis</cp:lastModifiedBy>
  <dcterms:created xsi:type="dcterms:W3CDTF">2021-01-07T22:18:37Z</dcterms:created>
  <dcterms:modified xsi:type="dcterms:W3CDTF">2023-09-17T15:44:27Z</dcterms:modified>
</cp:coreProperties>
</file>